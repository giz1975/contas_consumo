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69fd7736c53df2/Documentos/Setin Downtown Nova República/"/>
    </mc:Choice>
  </mc:AlternateContent>
  <xr:revisionPtr revIDLastSave="524" documentId="8_{62C9DE1B-F6CE-482D-AB95-0F4FCA60ABD0}" xr6:coauthVersionLast="47" xr6:coauthVersionMax="47" xr10:uidLastSave="{17C39BE9-09F4-444D-B370-07ACC4DF5C35}"/>
  <bookViews>
    <workbookView xWindow="1515" yWindow="1515" windowWidth="21600" windowHeight="11295" activeTab="1" xr2:uid="{1304E0F7-91F8-4889-9664-A5C80CDC7B9B}"/>
  </bookViews>
  <sheets>
    <sheet name="Energia" sheetId="1" r:id="rId1"/>
    <sheet name="Gás" sheetId="2" r:id="rId2"/>
    <sheet name="Água" sheetId="4" r:id="rId3"/>
    <sheet name="Trocador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H4" i="1"/>
  <c r="H3" i="1"/>
  <c r="H2" i="1"/>
  <c r="H7" i="1"/>
  <c r="H8" i="1"/>
  <c r="H9" i="1"/>
  <c r="H10" i="1"/>
  <c r="H11" i="1"/>
  <c r="H12" i="1"/>
  <c r="F4" i="1"/>
  <c r="F3" i="1"/>
  <c r="F2" i="1"/>
  <c r="F7" i="1"/>
  <c r="F8" i="1"/>
  <c r="F9" i="1"/>
  <c r="F10" i="1"/>
  <c r="F11" i="1"/>
  <c r="F12" i="1"/>
  <c r="M2" i="1"/>
  <c r="L2" i="1"/>
</calcChain>
</file>

<file path=xl/sharedStrings.xml><?xml version="1.0" encoding="utf-8"?>
<sst xmlns="http://schemas.openxmlformats.org/spreadsheetml/2006/main" count="72" uniqueCount="40">
  <si>
    <t>MÊS_REFERÊNCIA</t>
  </si>
  <si>
    <t>DATA_FATURA</t>
  </si>
  <si>
    <t>CONSUMO_KWH</t>
  </si>
  <si>
    <t>TARIFA_TUSD_R$/KWH</t>
  </si>
  <si>
    <t>TARIFA_TE_R$/KWH</t>
  </si>
  <si>
    <t>COSIP_R$</t>
  </si>
  <si>
    <t>ICMS_R$</t>
  </si>
  <si>
    <t>PIS_COFINS_R$</t>
  </si>
  <si>
    <t>TOTAL_ENERGIA_R$</t>
  </si>
  <si>
    <t>CONSUMO_M3</t>
  </si>
  <si>
    <t>VALOR_GÁS_R$</t>
  </si>
  <si>
    <t>TARIFA_PRINCIPAL_R$/m3</t>
  </si>
  <si>
    <t>TARIFA_COMPLEMENTAR_R$/m3</t>
  </si>
  <si>
    <t>05/2025</t>
  </si>
  <si>
    <t>DIAS_ENTRE_LEITURAS</t>
  </si>
  <si>
    <t>VALOR_TUSD_R$</t>
  </si>
  <si>
    <t>VALOR_TE_R$</t>
  </si>
  <si>
    <t>BANDEIRA_AMARELA_R$</t>
  </si>
  <si>
    <t>BANDEIRA_VERMELHA_R$</t>
  </si>
  <si>
    <t>10/2025</t>
  </si>
  <si>
    <t>09/2025</t>
  </si>
  <si>
    <t>08/2025</t>
  </si>
  <si>
    <t>07/2025</t>
  </si>
  <si>
    <t>06/2025</t>
  </si>
  <si>
    <t>11/2025</t>
  </si>
  <si>
    <t>PIS_R$</t>
  </si>
  <si>
    <t>COFINS_R$</t>
  </si>
  <si>
    <t>CONSUMO_COMPLEMENTAR_M3</t>
  </si>
  <si>
    <t>DIAS_CONSUMO</t>
  </si>
  <si>
    <t>VALOR</t>
  </si>
  <si>
    <t>04/2025</t>
  </si>
  <si>
    <t>01/2025</t>
  </si>
  <si>
    <t>12/2024</t>
  </si>
  <si>
    <t>02/2025</t>
  </si>
  <si>
    <t>03/2025</t>
  </si>
  <si>
    <t>MÉDIA_M3</t>
  </si>
  <si>
    <t>VALOR_R$</t>
  </si>
  <si>
    <t>CONSUMO_COMPLEMENTAR2_M3</t>
  </si>
  <si>
    <t>TARIFA_COMPLEMENTAR2_R$/m3</t>
  </si>
  <si>
    <t>06/1015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</si>
</sst>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164" formatCode="#,##0.000"/>
    <numFmt numFmtId="165" formatCode="&quot;R$&quot;\ #,##0.00000;[Red]\-&quot;R$&quot;\ #,##0.00000"/>
    <numFmt numFmtId="166" formatCode="#,##0.000_ ;[Red]\-#,##0.000\ "/>
    <numFmt numFmtId="167" formatCode="&quot;R$&quot;\ #,##0.0000000;[Red]\-&quot;R$&quot;\ #,##0.0000000"/>
    <numFmt numFmtId="168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42AA-4670-44E0-B7C8-0F0452E2C7C6}">
  <dimension ref="A1:N12"/>
  <sheetViews>
    <sheetView topLeftCell="C1" workbookViewId="0">
      <pane ySplit="1" topLeftCell="A2" activePane="bottomLeft" state="frozen"/>
      <selection pane="bottomLeft" activeCell="A7" sqref="A7:XFD7"/>
    </sheetView>
  </sheetViews>
  <sheetFormatPr defaultColWidth="19.140625" defaultRowHeight="15" x14ac:dyDescent="0.25"/>
  <cols>
    <col min="1" max="1" width="16.140625" style="1" bestFit="1" customWidth="1"/>
    <col min="2" max="2" width="13.28515625" bestFit="1" customWidth="1"/>
    <col min="3" max="3" width="20.5703125" style="6" bestFit="1" customWidth="1"/>
    <col min="4" max="4" width="15.42578125" style="3" bestFit="1" customWidth="1"/>
    <col min="5" max="5" width="20.5703125" style="5" bestFit="1" customWidth="1"/>
    <col min="6" max="6" width="15.28515625" style="4" bestFit="1" customWidth="1"/>
    <col min="7" max="7" width="18" style="5" bestFit="1" customWidth="1"/>
    <col min="8" max="8" width="12.5703125" style="4" bestFit="1" customWidth="1"/>
    <col min="9" max="9" width="22.140625" style="4" bestFit="1" customWidth="1"/>
    <col min="10" max="10" width="23.28515625" style="4" bestFit="1" customWidth="1"/>
    <col min="11" max="11" width="9.28515625" style="4" bestFit="1" customWidth="1"/>
    <col min="12" max="12" width="10.7109375" style="4" bestFit="1" customWidth="1"/>
    <col min="13" max="13" width="14.28515625" style="4" bestFit="1" customWidth="1"/>
    <col min="14" max="14" width="18.140625" style="4" bestFit="1" customWidth="1"/>
  </cols>
  <sheetData>
    <row r="1" spans="1:14" x14ac:dyDescent="0.25">
      <c r="A1" s="1" t="s">
        <v>0</v>
      </c>
      <c r="B1" t="s">
        <v>1</v>
      </c>
      <c r="C1" s="6" t="s">
        <v>14</v>
      </c>
      <c r="D1" s="3" t="s">
        <v>2</v>
      </c>
      <c r="E1" s="5" t="s">
        <v>3</v>
      </c>
      <c r="F1" s="4" t="s">
        <v>15</v>
      </c>
      <c r="G1" s="5" t="s">
        <v>4</v>
      </c>
      <c r="H1" s="4" t="s">
        <v>16</v>
      </c>
      <c r="I1" s="4" t="s">
        <v>17</v>
      </c>
      <c r="J1" s="4" t="s">
        <v>18</v>
      </c>
      <c r="K1" s="4" t="s">
        <v>5</v>
      </c>
      <c r="L1" s="4" t="s">
        <v>6</v>
      </c>
      <c r="M1" s="4" t="s">
        <v>7</v>
      </c>
      <c r="N1" s="4" t="s">
        <v>8</v>
      </c>
    </row>
    <row r="2" spans="1:14" x14ac:dyDescent="0.25">
      <c r="A2" s="1" t="s">
        <v>32</v>
      </c>
      <c r="B2" s="2">
        <v>45665</v>
      </c>
      <c r="C2" s="6">
        <v>29</v>
      </c>
      <c r="D2" s="3">
        <v>11080</v>
      </c>
      <c r="E2" s="5">
        <v>0.37317</v>
      </c>
      <c r="F2" s="4">
        <f>D2*E2</f>
        <v>4134.7236000000003</v>
      </c>
      <c r="G2" s="5">
        <v>0.26307000000000003</v>
      </c>
      <c r="H2" s="4">
        <f>D2*G2</f>
        <v>2914.8156000000004</v>
      </c>
      <c r="I2" s="4">
        <v>154.74</v>
      </c>
      <c r="K2" s="4">
        <v>583.41</v>
      </c>
      <c r="L2" s="4">
        <f>942.98+584.76+27.85</f>
        <v>1555.59</v>
      </c>
      <c r="M2" s="4">
        <f>181.09+113.58+4.75</f>
        <v>299.42</v>
      </c>
      <c r="N2" s="4">
        <v>9680.07</v>
      </c>
    </row>
    <row r="3" spans="1:14" x14ac:dyDescent="0.25">
      <c r="A3" s="1" t="s">
        <v>31</v>
      </c>
      <c r="B3" s="2">
        <v>45698</v>
      </c>
      <c r="C3" s="6">
        <v>33</v>
      </c>
      <c r="D3" s="3">
        <v>10440</v>
      </c>
      <c r="E3" s="5">
        <v>0.37317</v>
      </c>
      <c r="F3" s="4">
        <f>D3*E3</f>
        <v>3895.8948</v>
      </c>
      <c r="G3" s="5">
        <v>0.26307000000000003</v>
      </c>
      <c r="H3" s="4">
        <f>D3*G3</f>
        <v>2746.4508000000001</v>
      </c>
      <c r="K3" s="4">
        <v>603.97</v>
      </c>
      <c r="L3" s="4">
        <v>1535.77</v>
      </c>
      <c r="M3" s="4">
        <v>354.01</v>
      </c>
      <c r="N3" s="4">
        <v>9136.08</v>
      </c>
    </row>
    <row r="4" spans="1:14" x14ac:dyDescent="0.25">
      <c r="A4" s="1" t="s">
        <v>33</v>
      </c>
      <c r="B4" s="2">
        <v>45726</v>
      </c>
      <c r="C4" s="6">
        <v>29</v>
      </c>
      <c r="D4" s="3">
        <v>14160</v>
      </c>
      <c r="E4" s="5">
        <v>0.37317</v>
      </c>
      <c r="F4" s="4">
        <f>D4*E4</f>
        <v>5284.0871999999999</v>
      </c>
      <c r="G4" s="5">
        <v>0.26307000000000003</v>
      </c>
      <c r="H4" s="4">
        <f>D4*G4</f>
        <v>3725.0712000000003</v>
      </c>
      <c r="K4" s="4">
        <v>603.97</v>
      </c>
      <c r="L4" s="4">
        <f>1221.48+861.08+18.74</f>
        <v>2101.2999999999997</v>
      </c>
      <c r="M4" s="4">
        <f>280.45+187.7</f>
        <v>468.15</v>
      </c>
      <c r="N4" s="4">
        <v>12173.84</v>
      </c>
    </row>
    <row r="5" spans="1:14" x14ac:dyDescent="0.25">
      <c r="A5" s="1" t="s">
        <v>34</v>
      </c>
      <c r="B5" s="2">
        <v>45755</v>
      </c>
      <c r="C5" s="6">
        <v>31</v>
      </c>
      <c r="D5" s="3">
        <v>13760</v>
      </c>
      <c r="E5" s="5">
        <v>0.37317</v>
      </c>
      <c r="F5" s="4">
        <v>6667.32</v>
      </c>
      <c r="G5" s="5">
        <v>0.26307000000000003</v>
      </c>
      <c r="H5" s="4">
        <v>4700.1899999999996</v>
      </c>
      <c r="K5" s="4">
        <v>603.97</v>
      </c>
      <c r="L5" s="4">
        <v>2046.14</v>
      </c>
      <c r="M5" s="4">
        <v>566.76</v>
      </c>
      <c r="N5" s="4">
        <v>12200.64</v>
      </c>
    </row>
    <row r="6" spans="1:14" x14ac:dyDescent="0.25">
      <c r="A6" s="1" t="s">
        <v>30</v>
      </c>
      <c r="B6" s="2">
        <v>45785</v>
      </c>
      <c r="C6" s="6">
        <v>28</v>
      </c>
      <c r="D6" s="3">
        <v>13040</v>
      </c>
      <c r="E6" s="5">
        <v>0.37317</v>
      </c>
      <c r="F6" s="4">
        <v>6291</v>
      </c>
      <c r="G6" s="5">
        <v>0.26307000000000003</v>
      </c>
      <c r="H6" s="4">
        <v>4434.8900000000003</v>
      </c>
      <c r="K6" s="4">
        <v>603.97</v>
      </c>
      <c r="L6" s="4">
        <v>1930.66</v>
      </c>
      <c r="M6" s="4">
        <v>498.68</v>
      </c>
      <c r="N6" s="4">
        <v>11329.86</v>
      </c>
    </row>
    <row r="7" spans="1:14" x14ac:dyDescent="0.25">
      <c r="A7" s="1" t="s">
        <v>13</v>
      </c>
      <c r="B7" s="2">
        <v>45817</v>
      </c>
      <c r="C7" s="6">
        <v>33</v>
      </c>
      <c r="D7" s="3">
        <v>13680</v>
      </c>
      <c r="E7" s="5">
        <v>0.37317</v>
      </c>
      <c r="F7" s="4">
        <f t="shared" ref="F7:F12" si="0">D7*E7</f>
        <v>5104.9656000000004</v>
      </c>
      <c r="G7" s="5">
        <v>0.26307000000000003</v>
      </c>
      <c r="H7" s="4">
        <f t="shared" ref="H7:H12" si="1">D7*G7</f>
        <v>3598.7976000000003</v>
      </c>
      <c r="I7" s="4">
        <v>150.52000000000001</v>
      </c>
      <c r="J7" s="4">
        <v>0</v>
      </c>
      <c r="K7" s="4">
        <v>603.97</v>
      </c>
      <c r="L7" s="4">
        <v>2032.3</v>
      </c>
      <c r="M7" s="4">
        <v>436.96</v>
      </c>
      <c r="N7" s="4">
        <v>11894.59</v>
      </c>
    </row>
    <row r="8" spans="1:14" x14ac:dyDescent="0.25">
      <c r="A8" s="1" t="s">
        <v>23</v>
      </c>
      <c r="B8" s="2">
        <v>45853</v>
      </c>
      <c r="C8" s="6">
        <v>28</v>
      </c>
      <c r="D8" s="3">
        <v>14160</v>
      </c>
      <c r="E8" s="5">
        <v>0.37317</v>
      </c>
      <c r="F8" s="4">
        <f t="shared" si="0"/>
        <v>5284.0871999999999</v>
      </c>
      <c r="G8" s="5">
        <v>0.26307000000000003</v>
      </c>
      <c r="H8" s="4">
        <f t="shared" si="1"/>
        <v>3725.0712000000003</v>
      </c>
      <c r="I8" s="4">
        <v>194.26</v>
      </c>
      <c r="J8" s="4">
        <v>346.13</v>
      </c>
      <c r="K8" s="4">
        <v>603.97</v>
      </c>
      <c r="L8" s="4">
        <v>2165.88</v>
      </c>
      <c r="M8" s="4">
        <v>434.16</v>
      </c>
      <c r="N8" s="4">
        <v>12318.78</v>
      </c>
    </row>
    <row r="9" spans="1:14" x14ac:dyDescent="0.25">
      <c r="A9" s="1" t="s">
        <v>22</v>
      </c>
      <c r="B9" s="2">
        <v>45884</v>
      </c>
      <c r="C9" s="6">
        <v>33</v>
      </c>
      <c r="D9" s="3">
        <v>17680</v>
      </c>
      <c r="E9" s="5">
        <v>0.39472000000000002</v>
      </c>
      <c r="F9" s="4">
        <f t="shared" si="0"/>
        <v>6978.6496000000006</v>
      </c>
      <c r="G9" s="5">
        <v>0.27385999999999999</v>
      </c>
      <c r="H9" s="4">
        <f t="shared" si="1"/>
        <v>4841.8447999999999</v>
      </c>
      <c r="J9" s="4">
        <v>1006.64</v>
      </c>
      <c r="K9" s="4">
        <v>724.75</v>
      </c>
      <c r="L9" s="4">
        <v>2895.62</v>
      </c>
      <c r="M9" s="4">
        <v>581.73</v>
      </c>
      <c r="N9" s="4">
        <v>16811.61</v>
      </c>
    </row>
    <row r="10" spans="1:14" x14ac:dyDescent="0.25">
      <c r="A10" s="1" t="s">
        <v>21</v>
      </c>
      <c r="B10" s="2">
        <v>45915</v>
      </c>
      <c r="C10" s="6">
        <v>30</v>
      </c>
      <c r="D10" s="3">
        <v>16320</v>
      </c>
      <c r="E10" s="5">
        <v>0.43243999999999999</v>
      </c>
      <c r="F10" s="4">
        <f t="shared" si="0"/>
        <v>7057.4207999999999</v>
      </c>
      <c r="G10" s="5">
        <v>0.29274</v>
      </c>
      <c r="H10" s="4">
        <f t="shared" si="1"/>
        <v>4777.5168000000003</v>
      </c>
      <c r="J10" s="4">
        <v>1270.17</v>
      </c>
      <c r="K10" s="4">
        <v>724.75</v>
      </c>
      <c r="L10" s="4">
        <v>2966.43</v>
      </c>
      <c r="M10" s="4">
        <v>690.54</v>
      </c>
      <c r="N10" s="4">
        <v>17204.97</v>
      </c>
    </row>
    <row r="11" spans="1:14" x14ac:dyDescent="0.25">
      <c r="A11" s="1" t="s">
        <v>20</v>
      </c>
      <c r="B11" s="2">
        <v>45945</v>
      </c>
      <c r="C11" s="6">
        <v>29</v>
      </c>
      <c r="D11" s="3">
        <v>16520</v>
      </c>
      <c r="E11" s="5">
        <v>0.43243999999999999</v>
      </c>
      <c r="F11" s="4">
        <f t="shared" si="0"/>
        <v>7143.9088000000002</v>
      </c>
      <c r="G11" s="5">
        <v>0.29274</v>
      </c>
      <c r="H11" s="4">
        <f t="shared" si="1"/>
        <v>4836.0648000000001</v>
      </c>
      <c r="J11" s="4">
        <v>1678.92</v>
      </c>
      <c r="K11" s="4">
        <v>724.75</v>
      </c>
      <c r="L11" s="4">
        <v>3084.39</v>
      </c>
      <c r="M11" s="4">
        <v>769.99</v>
      </c>
      <c r="N11" s="4">
        <v>17860.36</v>
      </c>
    </row>
    <row r="12" spans="1:14" x14ac:dyDescent="0.25">
      <c r="A12" s="1" t="s">
        <v>19</v>
      </c>
      <c r="B12" s="2">
        <v>45978</v>
      </c>
      <c r="C12" s="6">
        <v>32</v>
      </c>
      <c r="D12" s="3">
        <v>20520</v>
      </c>
      <c r="E12" s="5">
        <v>0.43243999999999999</v>
      </c>
      <c r="F12" s="4">
        <f t="shared" si="0"/>
        <v>8873.6687999999995</v>
      </c>
      <c r="G12" s="5">
        <v>0.29274</v>
      </c>
      <c r="H12" s="4">
        <f t="shared" si="1"/>
        <v>6007.0248000000001</v>
      </c>
      <c r="J12" s="4">
        <v>1698.52</v>
      </c>
      <c r="K12" s="4">
        <v>869.71</v>
      </c>
      <c r="L12" s="4">
        <v>3779.23</v>
      </c>
      <c r="M12" s="4">
        <v>1026.08</v>
      </c>
      <c r="N12" s="4">
        <v>21865.48</v>
      </c>
    </row>
  </sheetData>
  <sortState xmlns:xlrd2="http://schemas.microsoft.com/office/spreadsheetml/2017/richdata2" ref="A3:N13">
    <sortCondition ref="A1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2281-354D-4300-A80A-78480847FBBA}">
  <dimension ref="A1:M11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6.140625" style="1" bestFit="1" customWidth="1"/>
    <col min="2" max="2" width="13.28515625" bestFit="1" customWidth="1"/>
    <col min="3" max="3" width="13.28515625" style="6" customWidth="1"/>
    <col min="4" max="4" width="13.85546875" style="7" bestFit="1" customWidth="1"/>
    <col min="5" max="5" width="23.85546875" style="8" bestFit="1" customWidth="1"/>
    <col min="6" max="6" width="29.7109375" style="7" bestFit="1" customWidth="1"/>
    <col min="7" max="7" width="29.28515625" style="8" bestFit="1" customWidth="1"/>
    <col min="8" max="8" width="29.7109375" style="7" customWidth="1"/>
    <col min="9" max="9" width="29.28515625" style="8" customWidth="1"/>
    <col min="10" max="10" width="10.7109375" style="4" bestFit="1" customWidth="1"/>
    <col min="11" max="11" width="9.140625" style="4" bestFit="1"/>
    <col min="12" max="12" width="10.7109375" style="4" bestFit="1" customWidth="1"/>
    <col min="13" max="13" width="14.140625" style="4" bestFit="1" customWidth="1"/>
  </cols>
  <sheetData>
    <row r="1" spans="1:13" x14ac:dyDescent="0.25">
      <c r="A1" s="1" t="s">
        <v>0</v>
      </c>
      <c r="B1" t="s">
        <v>1</v>
      </c>
      <c r="C1" s="6" t="s">
        <v>28</v>
      </c>
      <c r="D1" s="7" t="s">
        <v>9</v>
      </c>
      <c r="E1" s="8" t="s">
        <v>11</v>
      </c>
      <c r="F1" s="7" t="s">
        <v>27</v>
      </c>
      <c r="G1" s="8" t="s">
        <v>12</v>
      </c>
      <c r="H1" s="7" t="s">
        <v>37</v>
      </c>
      <c r="I1" s="8" t="s">
        <v>38</v>
      </c>
      <c r="J1" s="4" t="s">
        <v>6</v>
      </c>
      <c r="K1" s="4" t="s">
        <v>25</v>
      </c>
      <c r="L1" s="4" t="s">
        <v>26</v>
      </c>
      <c r="M1" s="4" t="s">
        <v>10</v>
      </c>
    </row>
    <row r="2" spans="1:13" x14ac:dyDescent="0.25">
      <c r="A2" s="1" t="s">
        <v>24</v>
      </c>
      <c r="B2" s="2">
        <v>46007</v>
      </c>
      <c r="C2" s="6">
        <v>30</v>
      </c>
      <c r="D2" s="7">
        <v>709.91</v>
      </c>
      <c r="E2" s="8">
        <v>7.2968739999999999</v>
      </c>
      <c r="J2" s="4">
        <v>945.81</v>
      </c>
      <c r="K2" s="4">
        <v>88.43</v>
      </c>
      <c r="L2" s="4">
        <v>407.33</v>
      </c>
      <c r="M2" s="4">
        <v>6305.41</v>
      </c>
    </row>
    <row r="3" spans="1:13" x14ac:dyDescent="0.25">
      <c r="A3" s="1" t="s">
        <v>19</v>
      </c>
      <c r="B3" s="2">
        <v>45977</v>
      </c>
      <c r="C3" s="6">
        <v>33</v>
      </c>
      <c r="D3" s="7">
        <v>1909.9580000000001</v>
      </c>
      <c r="E3" s="8">
        <v>7.2968739999999999</v>
      </c>
      <c r="G3" s="8">
        <v>0</v>
      </c>
      <c r="J3" s="4">
        <v>2491.09</v>
      </c>
      <c r="K3" s="4">
        <v>232.92</v>
      </c>
      <c r="L3" s="4">
        <v>1072.83</v>
      </c>
      <c r="M3" s="4">
        <v>16607.29</v>
      </c>
    </row>
    <row r="4" spans="1:13" x14ac:dyDescent="0.25">
      <c r="A4" s="1" t="s">
        <v>20</v>
      </c>
      <c r="B4" s="2">
        <v>45946</v>
      </c>
      <c r="C4" s="6">
        <v>29</v>
      </c>
      <c r="D4" s="7">
        <v>1331.308</v>
      </c>
      <c r="E4" s="8">
        <v>7.3201463000000002</v>
      </c>
      <c r="G4" s="8">
        <v>0</v>
      </c>
      <c r="J4" s="4">
        <v>1734.82</v>
      </c>
      <c r="K4" s="4">
        <v>162.21</v>
      </c>
      <c r="L4" s="4">
        <v>747.13</v>
      </c>
      <c r="M4" s="4">
        <v>11565.44</v>
      </c>
    </row>
    <row r="5" spans="1:13" x14ac:dyDescent="0.25">
      <c r="A5" s="1" t="s">
        <v>21</v>
      </c>
      <c r="B5" s="2">
        <v>45919</v>
      </c>
      <c r="C5" s="6">
        <v>30</v>
      </c>
      <c r="D5" s="7">
        <v>1254.335</v>
      </c>
      <c r="E5" s="8">
        <v>7.2082439999999997</v>
      </c>
      <c r="F5" s="7">
        <v>500</v>
      </c>
      <c r="G5" s="8">
        <v>7.5107869999999997</v>
      </c>
      <c r="J5" s="4">
        <v>2272.21</v>
      </c>
      <c r="K5" s="4">
        <v>212.45</v>
      </c>
      <c r="L5" s="4">
        <v>978.57</v>
      </c>
      <c r="M5" s="4">
        <v>15489.81</v>
      </c>
    </row>
    <row r="6" spans="1:13" x14ac:dyDescent="0.25">
      <c r="A6" s="1" t="s">
        <v>22</v>
      </c>
      <c r="B6" s="2">
        <v>45885</v>
      </c>
      <c r="C6" s="6">
        <v>31</v>
      </c>
      <c r="D6" s="7">
        <v>1302.105</v>
      </c>
      <c r="E6" s="8">
        <v>7.2082439999999997</v>
      </c>
      <c r="F6" s="7">
        <v>500</v>
      </c>
      <c r="G6" s="8">
        <v>7.5107869999999997</v>
      </c>
      <c r="J6" s="4">
        <v>2332.9699999999998</v>
      </c>
      <c r="K6" s="4">
        <v>218.13</v>
      </c>
      <c r="L6" s="4">
        <v>1004.73</v>
      </c>
      <c r="M6" s="4">
        <v>15553.16</v>
      </c>
    </row>
    <row r="7" spans="1:13" x14ac:dyDescent="0.25">
      <c r="A7" s="1" t="s">
        <v>23</v>
      </c>
      <c r="B7" s="2">
        <v>45854</v>
      </c>
      <c r="C7" s="6">
        <v>29</v>
      </c>
      <c r="D7" s="7">
        <v>1248.4269999999999</v>
      </c>
      <c r="E7" s="8">
        <v>7.2082439999999997</v>
      </c>
      <c r="F7" s="7">
        <v>500</v>
      </c>
      <c r="G7" s="8">
        <v>7.5107869999999997</v>
      </c>
      <c r="J7" s="4">
        <v>2264.69</v>
      </c>
      <c r="K7" s="4">
        <v>211.75</v>
      </c>
      <c r="L7" s="4">
        <v>975.33</v>
      </c>
      <c r="M7" s="4">
        <v>15097.96</v>
      </c>
    </row>
    <row r="8" spans="1:13" x14ac:dyDescent="0.25">
      <c r="A8" s="1" t="s">
        <v>13</v>
      </c>
      <c r="B8" s="2">
        <v>45804</v>
      </c>
      <c r="C8" s="6">
        <v>30</v>
      </c>
      <c r="D8" s="7">
        <v>1500</v>
      </c>
      <c r="E8" s="8">
        <v>7.2082439999999997</v>
      </c>
      <c r="F8" s="7">
        <v>500</v>
      </c>
      <c r="G8" s="8">
        <v>7.5107869999999997</v>
      </c>
      <c r="H8" s="7">
        <v>286.61</v>
      </c>
      <c r="I8" s="8">
        <v>6.8888759999999998</v>
      </c>
      <c r="J8" s="4">
        <v>2933.13</v>
      </c>
      <c r="K8" s="4">
        <v>274.25</v>
      </c>
      <c r="L8" s="4">
        <v>1263.2</v>
      </c>
      <c r="M8" s="4">
        <v>19554.22</v>
      </c>
    </row>
    <row r="9" spans="1:13" x14ac:dyDescent="0.25">
      <c r="A9" s="1" t="s">
        <v>30</v>
      </c>
      <c r="B9" s="2">
        <v>45776</v>
      </c>
      <c r="C9" s="6">
        <v>28</v>
      </c>
      <c r="D9" s="7">
        <v>1251.2280000000001</v>
      </c>
      <c r="E9" s="8">
        <v>7.2082439999999997</v>
      </c>
      <c r="F9" s="7">
        <v>500</v>
      </c>
      <c r="G9" s="8">
        <v>7.5107869999999997</v>
      </c>
      <c r="J9" s="4">
        <v>2268.2600000000002</v>
      </c>
      <c r="K9" s="4">
        <v>212.08</v>
      </c>
      <c r="L9" s="4">
        <v>976.86</v>
      </c>
      <c r="M9" s="4">
        <v>15121.72</v>
      </c>
    </row>
    <row r="10" spans="1:13" x14ac:dyDescent="0.25">
      <c r="A10" s="1" t="s">
        <v>34</v>
      </c>
      <c r="B10" s="2">
        <v>45746</v>
      </c>
      <c r="C10" s="6">
        <v>33</v>
      </c>
      <c r="D10" s="7">
        <v>1040.895</v>
      </c>
      <c r="E10" s="8">
        <v>7.2082439999999997</v>
      </c>
      <c r="F10" s="7">
        <v>500</v>
      </c>
      <c r="G10" s="8">
        <v>7.5107869999999997</v>
      </c>
      <c r="J10" s="4">
        <v>2000.71</v>
      </c>
      <c r="K10" s="4">
        <v>187.07</v>
      </c>
      <c r="L10" s="4">
        <v>861.64</v>
      </c>
      <c r="M10" s="4">
        <v>13338.04</v>
      </c>
    </row>
    <row r="11" spans="1:13" x14ac:dyDescent="0.25">
      <c r="A11" s="1" t="s">
        <v>33</v>
      </c>
      <c r="B11" s="2">
        <v>45713</v>
      </c>
      <c r="C11" s="6">
        <v>29</v>
      </c>
      <c r="D11" s="7">
        <v>1062.6500000000001</v>
      </c>
      <c r="E11" s="8">
        <v>7.2082439999999997</v>
      </c>
      <c r="F11" s="7">
        <v>500</v>
      </c>
      <c r="G11" s="8">
        <v>7.5107869999999997</v>
      </c>
      <c r="J11" s="4">
        <v>2028.38</v>
      </c>
      <c r="K11" s="4">
        <v>189.65</v>
      </c>
      <c r="L11" s="4">
        <v>873.55</v>
      </c>
      <c r="M11" s="4">
        <v>13522.52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4865-5B42-4A0A-BA04-508389F61E68}">
  <dimension ref="A1:K12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6.140625" style="1" bestFit="1" customWidth="1"/>
    <col min="2" max="2" width="13.28515625" bestFit="1" customWidth="1"/>
    <col min="3" max="3" width="15.28515625" bestFit="1" customWidth="1"/>
    <col min="4" max="4" width="13.85546875" style="10" bestFit="1" customWidth="1"/>
    <col min="5" max="5" width="10" style="10" bestFit="1" customWidth="1"/>
    <col min="6" max="6" width="11.7109375" style="4" bestFit="1" customWidth="1"/>
    <col min="7" max="7" width="29.28515625" bestFit="1" customWidth="1"/>
    <col min="8" max="8" width="8.28515625" bestFit="1" customWidth="1"/>
    <col min="9" max="9" width="6.7109375" bestFit="1" customWidth="1"/>
    <col min="10" max="10" width="10.5703125" bestFit="1" customWidth="1"/>
    <col min="11" max="11" width="14.140625" bestFit="1" customWidth="1"/>
  </cols>
  <sheetData>
    <row r="1" spans="1:11" x14ac:dyDescent="0.25">
      <c r="A1" s="1" t="s">
        <v>0</v>
      </c>
      <c r="B1" t="s">
        <v>1</v>
      </c>
      <c r="C1" s="6" t="s">
        <v>28</v>
      </c>
      <c r="D1" s="10" t="s">
        <v>9</v>
      </c>
      <c r="E1" s="10" t="s">
        <v>35</v>
      </c>
      <c r="F1" s="4" t="s">
        <v>36</v>
      </c>
      <c r="G1" s="8"/>
      <c r="H1" s="4"/>
      <c r="I1" s="4"/>
      <c r="J1" s="4"/>
      <c r="K1" s="4"/>
    </row>
    <row r="2" spans="1:11" x14ac:dyDescent="0.25">
      <c r="A2" s="1" t="s">
        <v>32</v>
      </c>
      <c r="B2" s="2">
        <v>45682</v>
      </c>
      <c r="F2" s="4">
        <v>26094.47</v>
      </c>
    </row>
    <row r="3" spans="1:11" x14ac:dyDescent="0.25">
      <c r="A3" s="1" t="s">
        <v>31</v>
      </c>
      <c r="B3" s="2">
        <v>45713</v>
      </c>
      <c r="C3">
        <v>31</v>
      </c>
      <c r="D3" s="10">
        <v>1216</v>
      </c>
      <c r="E3" s="10">
        <v>1166.67</v>
      </c>
      <c r="F3" s="4">
        <v>26094.47</v>
      </c>
    </row>
    <row r="4" spans="1:11" x14ac:dyDescent="0.25">
      <c r="A4" s="1" t="s">
        <v>33</v>
      </c>
      <c r="B4" s="2">
        <v>45741</v>
      </c>
      <c r="C4">
        <v>30</v>
      </c>
      <c r="D4" s="10">
        <v>1600</v>
      </c>
      <c r="E4" s="10">
        <v>1251.57</v>
      </c>
      <c r="F4" s="4">
        <v>26094.47</v>
      </c>
    </row>
    <row r="5" spans="1:11" x14ac:dyDescent="0.25">
      <c r="A5" s="1" t="s">
        <v>34</v>
      </c>
      <c r="B5" s="2">
        <v>45772</v>
      </c>
      <c r="C5">
        <v>30</v>
      </c>
      <c r="D5" s="10">
        <v>1682</v>
      </c>
      <c r="E5" s="10">
        <v>1366.67</v>
      </c>
      <c r="F5" s="4">
        <v>26094.47</v>
      </c>
    </row>
    <row r="6" spans="1:11" x14ac:dyDescent="0.25">
      <c r="A6" s="1" t="s">
        <v>30</v>
      </c>
      <c r="B6" s="2">
        <v>45802</v>
      </c>
      <c r="C6">
        <v>31</v>
      </c>
      <c r="D6" s="10">
        <v>1553</v>
      </c>
      <c r="E6" s="10">
        <v>1501.42</v>
      </c>
      <c r="F6" s="4">
        <v>26094.47</v>
      </c>
    </row>
    <row r="7" spans="1:11" x14ac:dyDescent="0.25">
      <c r="A7" s="1" t="s">
        <v>13</v>
      </c>
      <c r="B7" s="2">
        <v>45833</v>
      </c>
      <c r="C7">
        <v>30</v>
      </c>
      <c r="D7" s="10">
        <v>1398</v>
      </c>
      <c r="E7" s="10">
        <v>1516.25</v>
      </c>
      <c r="F7" s="4">
        <v>26094.47</v>
      </c>
    </row>
    <row r="8" spans="1:11" x14ac:dyDescent="0.25">
      <c r="A8" s="1" t="s">
        <v>39</v>
      </c>
      <c r="B8" s="2">
        <v>45863</v>
      </c>
      <c r="C8">
        <v>30</v>
      </c>
      <c r="D8" s="10">
        <v>1561</v>
      </c>
      <c r="E8" s="10">
        <v>1467.92</v>
      </c>
      <c r="F8" s="4">
        <v>26094.47</v>
      </c>
    </row>
    <row r="9" spans="1:11" x14ac:dyDescent="0.25">
      <c r="A9" s="1" t="s">
        <v>22</v>
      </c>
      <c r="B9" s="2">
        <v>45894</v>
      </c>
      <c r="C9">
        <v>31</v>
      </c>
      <c r="D9" s="10">
        <v>1580</v>
      </c>
      <c r="E9" s="10">
        <v>1499.17</v>
      </c>
      <c r="F9" s="4">
        <v>26094.47</v>
      </c>
    </row>
    <row r="10" spans="1:11" x14ac:dyDescent="0.25">
      <c r="A10" s="1" t="s">
        <v>21</v>
      </c>
      <c r="B10" s="2">
        <v>45925</v>
      </c>
      <c r="C10">
        <v>31</v>
      </c>
      <c r="D10" s="10">
        <v>1843</v>
      </c>
      <c r="E10" s="10">
        <v>1566.83</v>
      </c>
      <c r="F10" s="4">
        <v>26094.47</v>
      </c>
    </row>
    <row r="11" spans="1:11" x14ac:dyDescent="0.25">
      <c r="A11" s="1" t="s">
        <v>20</v>
      </c>
      <c r="B11" s="2">
        <v>45955</v>
      </c>
      <c r="C11">
        <v>30</v>
      </c>
      <c r="D11" s="10">
        <v>1889</v>
      </c>
      <c r="E11" s="10">
        <v>1588.58</v>
      </c>
      <c r="F11" s="4">
        <v>26094.47</v>
      </c>
    </row>
    <row r="12" spans="1:11" x14ac:dyDescent="0.25">
      <c r="B12" s="2"/>
    </row>
  </sheetData>
  <sortState xmlns:xlrd2="http://schemas.microsoft.com/office/spreadsheetml/2017/richdata2" ref="A2:F7">
    <sortCondition ref="A2:A7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C16E-A23B-4951-B9FA-9EEABD10E215}">
  <dimension ref="A1:C6"/>
  <sheetViews>
    <sheetView workbookViewId="0"/>
  </sheetViews>
  <sheetFormatPr defaultRowHeight="15" x14ac:dyDescent="0.25"/>
  <cols>
    <col min="1" max="1" width="16.140625" style="1" bestFit="1" customWidth="1"/>
    <col min="2" max="2" width="13.28515625" bestFit="1" customWidth="1"/>
    <col min="3" max="3" width="12" style="9" customWidth="1"/>
  </cols>
  <sheetData>
    <row r="1" spans="1:3" x14ac:dyDescent="0.25">
      <c r="A1" s="1" t="s">
        <v>0</v>
      </c>
      <c r="B1" t="s">
        <v>1</v>
      </c>
      <c r="C1" s="9" t="s">
        <v>29</v>
      </c>
    </row>
    <row r="2" spans="1:3" x14ac:dyDescent="0.25">
      <c r="A2" s="1" t="s">
        <v>22</v>
      </c>
      <c r="B2" s="2">
        <v>45849</v>
      </c>
      <c r="C2" s="9">
        <v>3900</v>
      </c>
    </row>
    <row r="3" spans="1:3" x14ac:dyDescent="0.25">
      <c r="A3" s="1" t="s">
        <v>21</v>
      </c>
      <c r="B3" s="2">
        <v>45891</v>
      </c>
      <c r="C3" s="9">
        <v>4900</v>
      </c>
    </row>
    <row r="4" spans="1:3" x14ac:dyDescent="0.25">
      <c r="A4" s="1" t="s">
        <v>20</v>
      </c>
      <c r="B4" s="2">
        <v>45924</v>
      </c>
      <c r="C4" s="9">
        <v>4900</v>
      </c>
    </row>
    <row r="5" spans="1:3" x14ac:dyDescent="0.25">
      <c r="A5" s="1" t="s">
        <v>19</v>
      </c>
      <c r="B5" s="2">
        <v>45933</v>
      </c>
      <c r="C5" s="9">
        <v>4900</v>
      </c>
    </row>
    <row r="6" spans="1:3" x14ac:dyDescent="0.25">
      <c r="A6" s="1" t="s">
        <v>24</v>
      </c>
      <c r="B6" s="2">
        <v>45964</v>
      </c>
      <c r="C6" s="9">
        <v>4900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Energia</vt:lpstr>
      <vt:lpstr>Gás</vt:lpstr>
      <vt:lpstr>Água</vt:lpstr>
      <vt:lpstr>Trocadores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Izar</dc:creator>
  <cp:lastModifiedBy>Gabriel Izar</cp:lastModifiedBy>
  <dcterms:created xsi:type="dcterms:W3CDTF">2025-11-19T14:29:26Z</dcterms:created>
  <dcterms:modified xsi:type="dcterms:W3CDTF">2025-11-23T17:49:02Z</dcterms:modified>
</cp:coreProperties>
</file>